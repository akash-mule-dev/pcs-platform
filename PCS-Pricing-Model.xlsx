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S Assumptions" sheetId="2" state="visible" r:id="rId2"/>
    <sheet name="US ARR Model" sheetId="3" state="visible" r:id="rId3"/>
    <sheet name="US Unit Economics" sheetId="4" state="visible" r:id="rId4"/>
    <sheet name="India Assumptions" sheetId="5" state="visible" r:id="rId5"/>
    <sheet name="India ARR Model" sheetId="6" state="visible" r:id="rId6"/>
    <sheet name="India Unit Econom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0.0&quot;x&quot;"/>
    <numFmt numFmtId="167" formatCode="0.0&quot; mo&quot;"/>
    <numFmt numFmtId="168" formatCode="0.0"/>
    <numFmt numFmtId="169" formatCode="&quot;₹&quot;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applyAlignment="1" pivotButton="0" quotePrefix="0" xfId="0">
      <alignment horizontal="right"/>
    </xf>
    <xf numFmtId="165" fontId="0" fillId="2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" fontId="0" fillId="2" borderId="1" applyAlignment="1" pivotButton="0" quotePrefix="0" xfId="0">
      <alignment horizontal="right"/>
    </xf>
    <xf numFmtId="166" fontId="0" fillId="2" borderId="1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horizontal="right"/>
    </xf>
    <xf numFmtId="164" fontId="0" fillId="4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3" fillId="4" borderId="1" pivotButton="0" quotePrefix="0" xfId="0"/>
    <xf numFmtId="0" fontId="4" fillId="3" borderId="0" pivotButton="0" quotePrefix="0" xfId="0"/>
    <xf numFmtId="1" fontId="0" fillId="0" borderId="0" pivotButton="0" quotePrefix="0" xfId="0"/>
    <xf numFmtId="165" fontId="0" fillId="0" borderId="1" pivotButton="0" quotePrefix="0" xfId="0"/>
    <xf numFmtId="165" fontId="0" fillId="4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6" fontId="0" fillId="4" borderId="1" pivotButton="0" quotePrefix="0" xfId="0"/>
    <xf numFmtId="169" fontId="0" fillId="2" borderId="1" applyAlignment="1" pivotButton="0" quotePrefix="0" xfId="0">
      <alignment horizontal="right"/>
    </xf>
    <xf numFmtId="169" fontId="0" fillId="4" borderId="1" pivotButton="0" quotePrefix="0" xfId="0"/>
    <xf numFmtId="169" fontId="0" fillId="0" borderId="1" pivotButton="0" quotePrefix="0" xfId="0"/>
    <xf numFmtId="169" fontId="3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PCS Platform — Pricing &amp; ARR Model</t>
        </is>
      </c>
    </row>
    <row r="2">
      <c r="A2" t="inlineStr"/>
    </row>
    <row r="3">
      <c r="A3" s="2" t="inlineStr">
        <is>
          <t>TABS</t>
        </is>
      </c>
    </row>
    <row r="4">
      <c r="A4" t="inlineStr">
        <is>
          <t xml:space="preserve">  • US Assumptions / US ARR Model / US Unit Economics  — North-American pricing in USD</t>
        </is>
      </c>
    </row>
    <row r="5">
      <c r="A5" t="inlineStr">
        <is>
          <t xml:space="preserve">  • India Assumptions / India ARR Model / India Unit Economics  — India pricing in INR (ex-GST)</t>
        </is>
      </c>
    </row>
    <row r="6">
      <c r="A6" t="inlineStr"/>
    </row>
    <row r="7">
      <c r="A7" s="2" t="inlineStr">
        <is>
          <t>HOW TO USE</t>
        </is>
      </c>
    </row>
    <row r="8">
      <c r="A8" t="inlineStr">
        <is>
          <t xml:space="preserve">  • Edit only the BLUE cells on an Assumptions tab. Everything else is a formula.</t>
        </is>
      </c>
    </row>
    <row r="9">
      <c r="A9" t="inlineStr">
        <is>
          <t xml:space="preserve">  • ARR rolls each segment's bookings forward by NRR and sums Low/Base/High scenarios.</t>
        </is>
      </c>
    </row>
    <row r="10">
      <c r="A10" t="inlineStr">
        <is>
          <t xml:space="preserve">  • Unit Economics derives gross margin, CAC payback and LTV:CAC; CAD-conversion compute is broken out as COGS.</t>
        </is>
      </c>
    </row>
    <row r="11">
      <c r="A11" t="inlineStr"/>
    </row>
    <row r="12">
      <c r="A12" s="2" t="inlineStr">
        <is>
          <t>MODEL LOGIC</t>
        </is>
      </c>
    </row>
    <row r="13">
      <c r="A13" t="inlineStr">
        <is>
          <t xml:space="preserve">  • Metric = price per production SITE; floor/operator access unlimited, only office/admin seats counted.</t>
        </is>
      </c>
    </row>
    <row r="14">
      <c r="A14" t="inlineStr">
        <is>
          <t xml:space="preserve">  • Ending ARR(t) = Ending ARR(t-1) × NRR + new-logo ARR(t), per segment then summed.</t>
        </is>
      </c>
    </row>
    <row r="15">
      <c r="A15" t="inlineStr">
        <is>
          <t xml:space="preserve">  • LTV = annual gross profit ÷ logo churn (no expansion credit — conservative).</t>
        </is>
      </c>
    </row>
    <row r="16">
      <c r="A16" t="inlineStr">
        <is>
          <t xml:space="preserve">  • Net CAC = CAC − onboarding gross profit (onboarding fees offset acquisition cost).</t>
        </is>
      </c>
    </row>
    <row r="17">
      <c r="A17" t="inlineStr"/>
    </row>
    <row r="18">
      <c r="A18" s="2" t="inlineStr">
        <is>
          <t>INDIA NOTES</t>
        </is>
      </c>
    </row>
    <row r="19">
      <c r="A19" t="inlineStr">
        <is>
          <t xml:space="preserve">  • Prices are ex-GST (add 18% GST; B2B customers reclaim it). Customers may deduct ~2% TDS on services.</t>
        </is>
      </c>
    </row>
    <row r="20">
      <c r="A20" t="inlineStr">
        <is>
          <t xml:space="preserve">  • Hosting &amp; CAD-conversion compute are USD-priced (cloud is global) so they DON'T localise down —</t>
        </is>
      </c>
    </row>
    <row r="21">
      <c r="A21" t="inlineStr">
        <is>
          <t xml:space="preserve">    this compresses margin on the Digital Twin tier. Support/CS does localise down.</t>
        </is>
      </c>
    </row>
    <row r="22">
      <c r="A22" t="inlineStr">
        <is>
          <t xml:space="preserve">  • India SMB excludes CAD compute COGS (SMB buys non-3D tiers); Mid = Digital Twin tier, so CAD applies.</t>
        </is>
      </c>
    </row>
    <row r="23">
      <c r="A23" t="inlineStr"/>
    </row>
    <row r="24">
      <c r="A24" s="2" t="inlineStr">
        <is>
          <t>CAVEATS</t>
        </is>
      </c>
    </row>
    <row r="25">
      <c r="A25" t="inlineStr">
        <is>
          <t xml:space="preserve">  • Figures are planning anchors, NOT committed list prices. Validate willingness-to-pay first.</t>
        </is>
      </c>
    </row>
    <row r="26">
      <c r="A26" t="inlineStr">
        <is>
          <t xml:space="preserve">  • LTV:CAC ratios are gated by the churn assumptions — stress-test churn before trusting them.</t>
        </is>
      </c>
    </row>
    <row r="27">
      <c r="A27" t="inlineStr">
        <is>
          <t xml:space="preserve">  • See PRICING.md for the narrative one-pager and the per-tier feature matrix this model backs.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Model Assumptions (USD) — edit the blue cells</t>
        </is>
      </c>
    </row>
    <row r="3">
      <c r="A3" s="2" t="inlineStr">
        <is>
          <t>PRICING (per site / year)</t>
        </is>
      </c>
    </row>
    <row r="4">
      <c r="A4" t="inlineStr">
        <is>
          <t>Core MES</t>
        </is>
      </c>
      <c r="B4" s="3" t="n">
        <v>12000</v>
      </c>
    </row>
    <row r="5">
      <c r="A5" t="inlineStr">
        <is>
          <t>Quality &amp; Traceability</t>
        </is>
      </c>
      <c r="B5" s="3" t="n">
        <v>30000</v>
      </c>
    </row>
    <row r="6">
      <c r="A6" t="inlineStr">
        <is>
          <t>Digital Twin / AR</t>
        </is>
      </c>
      <c r="B6" s="3" t="n">
        <v>54000</v>
      </c>
    </row>
    <row r="7">
      <c r="A7" t="inlineStr">
        <is>
          <t>Office/admin seat / yr</t>
        </is>
      </c>
      <c r="B7" s="3" t="n">
        <v>720</v>
      </c>
    </row>
    <row r="9">
      <c r="A9" s="2" t="inlineStr">
        <is>
          <t>SEGMENT ECONOMICS</t>
        </is>
      </c>
    </row>
    <row r="10">
      <c r="A10" t="inlineStr">
        <is>
          <t>SMB blended ACV</t>
        </is>
      </c>
      <c r="B10" s="3" t="n">
        <v>22000</v>
      </c>
    </row>
    <row r="11">
      <c r="A11" t="inlineStr">
        <is>
          <t>Mid-market blended ACV</t>
        </is>
      </c>
      <c r="B11" s="3" t="n">
        <v>150000</v>
      </c>
    </row>
    <row r="12">
      <c r="A12" t="inlineStr">
        <is>
          <t>SMB onboarding (one-time)</t>
        </is>
      </c>
      <c r="B12" s="3" t="n">
        <v>7500</v>
      </c>
    </row>
    <row r="13">
      <c r="A13" t="inlineStr">
        <is>
          <t>Mid onboarding (one-time)</t>
        </is>
      </c>
      <c r="B13" s="3" t="n">
        <v>20000</v>
      </c>
    </row>
    <row r="15">
      <c r="A15" s="2" t="inlineStr">
        <is>
          <t>RETENTION</t>
        </is>
      </c>
    </row>
    <row r="16">
      <c r="A16" t="inlineStr">
        <is>
          <t>SMB net revenue retention</t>
        </is>
      </c>
      <c r="B16" s="4" t="n">
        <v>1</v>
      </c>
    </row>
    <row r="17">
      <c r="A17" t="inlineStr">
        <is>
          <t>Mid NRR</t>
        </is>
      </c>
      <c r="B17" s="4" t="n">
        <v>1.15</v>
      </c>
    </row>
    <row r="18">
      <c r="A18" t="inlineStr">
        <is>
          <t>SMB logo churn / yr</t>
        </is>
      </c>
      <c r="B18" s="4" t="n">
        <v>0.15</v>
      </c>
    </row>
    <row r="19">
      <c r="A19" t="inlineStr">
        <is>
          <t>Mid logo churn / yr</t>
        </is>
      </c>
      <c r="B19" s="4" t="n">
        <v>0.08</v>
      </c>
    </row>
    <row r="21">
      <c r="A21" s="2" t="inlineStr">
        <is>
          <t>NEW-LOGO PLAN (Base scenario)</t>
        </is>
      </c>
    </row>
    <row r="22">
      <c r="B22" s="5" t="inlineStr">
        <is>
          <t>Y1</t>
        </is>
      </c>
      <c r="C22" s="5" t="inlineStr">
        <is>
          <t>Y2</t>
        </is>
      </c>
      <c r="D22" s="5" t="inlineStr">
        <is>
          <t>Y3</t>
        </is>
      </c>
    </row>
    <row r="23">
      <c r="A23" t="inlineStr">
        <is>
          <t>SMB new logos</t>
        </is>
      </c>
      <c r="B23" s="6" t="n">
        <v>12</v>
      </c>
      <c r="C23" s="6" t="n">
        <v>25</v>
      </c>
      <c r="D23" s="6" t="n">
        <v>40</v>
      </c>
    </row>
    <row r="24">
      <c r="A24" t="inlineStr">
        <is>
          <t>Mid new logos</t>
        </is>
      </c>
      <c r="B24" s="6" t="n">
        <v>2</v>
      </c>
      <c r="C24" s="6" t="n">
        <v>5</v>
      </c>
      <c r="D24" s="6" t="n">
        <v>9</v>
      </c>
    </row>
    <row r="26">
      <c r="A26" s="2" t="inlineStr">
        <is>
          <t>SCENARIO MULTIPLIERS</t>
        </is>
      </c>
    </row>
    <row r="27">
      <c r="B27" s="5" t="inlineStr">
        <is>
          <t>Low</t>
        </is>
      </c>
      <c r="C27" s="5" t="inlineStr">
        <is>
          <t>Base</t>
        </is>
      </c>
      <c r="D27" s="5" t="inlineStr">
        <is>
          <t>High</t>
        </is>
      </c>
    </row>
    <row r="28">
      <c r="A28" t="inlineStr">
        <is>
          <t>× Base plan</t>
        </is>
      </c>
      <c r="B28" s="7" t="n">
        <v>0.6</v>
      </c>
      <c r="C28" s="7" t="n">
        <v>1</v>
      </c>
      <c r="D28" s="7" t="n">
        <v>1.5</v>
      </c>
    </row>
    <row r="30">
      <c r="A30" s="2" t="inlineStr">
        <is>
          <t>UNIT ECONOMICS INPUTS</t>
        </is>
      </c>
    </row>
    <row r="31">
      <c r="A31" t="inlineStr">
        <is>
          <t>SMB CAC per logo</t>
        </is>
      </c>
      <c r="B31" s="3" t="n">
        <v>8000</v>
      </c>
    </row>
    <row r="32">
      <c r="A32" t="inlineStr">
        <is>
          <t>Mid CAC per logo</t>
        </is>
      </c>
      <c r="B32" s="3" t="n">
        <v>45000</v>
      </c>
    </row>
    <row r="33">
      <c r="A33" t="inlineStr">
        <is>
          <t>Onboarding gross margin %</t>
        </is>
      </c>
      <c r="B33" s="4" t="n">
        <v>0.4</v>
      </c>
    </row>
    <row r="35">
      <c r="A35" s="2" t="inlineStr">
        <is>
          <t>COGS per SITE / year</t>
        </is>
      </c>
    </row>
    <row r="36">
      <c r="A36" t="inlineStr">
        <is>
          <t>Hosting &amp; infra (USD-priced)</t>
        </is>
      </c>
      <c r="B36" s="3" t="n">
        <v>1200</v>
      </c>
    </row>
    <row r="37">
      <c r="A37" t="inlineStr">
        <is>
          <t>CAD-conversion compute (USD-priced)</t>
        </is>
      </c>
      <c r="B37" s="3" t="n">
        <v>1500</v>
      </c>
    </row>
    <row r="38">
      <c r="A38" t="inlineStr">
        <is>
          <t>Support / CS</t>
        </is>
      </c>
      <c r="B38" s="3" t="n">
        <v>2000</v>
      </c>
    </row>
    <row r="39">
      <c r="A39" t="inlineStr">
        <is>
          <t>Payment processing (% of ACV)</t>
        </is>
      </c>
      <c r="B39" s="4" t="n">
        <v>0.025</v>
      </c>
    </row>
    <row r="41">
      <c r="A41" s="2" t="inlineStr">
        <is>
          <t>SITES PER CUSTOMER</t>
        </is>
      </c>
    </row>
    <row r="42">
      <c r="A42" t="inlineStr">
        <is>
          <t>SMB sites</t>
        </is>
      </c>
      <c r="B42" s="6" t="n">
        <v>1</v>
      </c>
    </row>
    <row r="43">
      <c r="A43" t="inlineStr">
        <is>
          <t>Mid sites</t>
        </is>
      </c>
      <c r="B43" s="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ARR Model — ending ARR by scenario (US)</t>
        </is>
      </c>
    </row>
    <row r="3">
      <c r="A3" s="2" t="inlineStr">
        <is>
          <t>ENDING ARR BY SCENARIO</t>
        </is>
      </c>
    </row>
    <row r="4">
      <c r="A4" s="8" t="inlineStr"/>
      <c r="B4" s="9" t="inlineStr">
        <is>
          <t>Y1</t>
        </is>
      </c>
      <c r="C4" s="9" t="inlineStr">
        <is>
          <t>Y2</t>
        </is>
      </c>
      <c r="D4" s="9" t="inlineStr">
        <is>
          <t>Y3</t>
        </is>
      </c>
    </row>
    <row r="5">
      <c r="A5" s="8" t="inlineStr">
        <is>
          <t>Low</t>
        </is>
      </c>
      <c r="B5" s="10">
        <f>B20</f>
        <v/>
      </c>
      <c r="C5" s="10">
        <f>C20</f>
        <v/>
      </c>
      <c r="D5" s="10">
        <f>D20</f>
        <v/>
      </c>
    </row>
    <row r="6">
      <c r="A6" s="8" t="inlineStr">
        <is>
          <t>Base</t>
        </is>
      </c>
      <c r="B6" s="10">
        <f>B32</f>
        <v/>
      </c>
      <c r="C6" s="10">
        <f>C32</f>
        <v/>
      </c>
      <c r="D6" s="10">
        <f>D32</f>
        <v/>
      </c>
    </row>
    <row r="7">
      <c r="A7" s="8" t="inlineStr">
        <is>
          <t>High</t>
        </is>
      </c>
      <c r="B7" s="10">
        <f>B44</f>
        <v/>
      </c>
      <c r="C7" s="10">
        <f>C44</f>
        <v/>
      </c>
      <c r="D7" s="10">
        <f>D44</f>
        <v/>
      </c>
    </row>
    <row r="9">
      <c r="A9" s="8" t="inlineStr">
        <is>
          <t>Services revenue (one-time, Base)</t>
        </is>
      </c>
      <c r="B9" s="10">
        <f>B33</f>
        <v/>
      </c>
      <c r="C9" s="10">
        <f>C33</f>
        <v/>
      </c>
      <c r="D9" s="10">
        <f>D33</f>
        <v/>
      </c>
    </row>
    <row r="12">
      <c r="A12" s="2" t="inlineStr">
        <is>
          <t>LOW SCENARIO</t>
        </is>
      </c>
    </row>
    <row r="13">
      <c r="A13" s="8" t="inlineStr"/>
      <c r="B13" s="9" t="inlineStr">
        <is>
          <t>Y1</t>
        </is>
      </c>
      <c r="C13" s="9" t="inlineStr">
        <is>
          <t>Y2</t>
        </is>
      </c>
      <c r="D13" s="9" t="inlineStr">
        <is>
          <t>Y3</t>
        </is>
      </c>
    </row>
    <row r="14">
      <c r="A14" t="inlineStr">
        <is>
          <t>SMB new logos</t>
        </is>
      </c>
      <c r="B14" s="11">
        <f>ROUND('US Assumptions'!B23*'US Assumptions'!$B$28,0)</f>
        <v/>
      </c>
      <c r="C14" s="11">
        <f>ROUND('US Assumptions'!C23*'US Assumptions'!$B$28,0)</f>
        <v/>
      </c>
      <c r="D14" s="11">
        <f>ROUND('US Assumptions'!D23*'US Assumptions'!$B$28,0)</f>
        <v/>
      </c>
    </row>
    <row r="15">
      <c r="A15" t="inlineStr">
        <is>
          <t>Mid new logos</t>
        </is>
      </c>
      <c r="B15" s="11">
        <f>ROUND('US Assumptions'!B24*'US Assumptions'!$B$28,0)</f>
        <v/>
      </c>
      <c r="C15" s="11">
        <f>ROUND('US Assumptions'!C24*'US Assumptions'!$B$28,0)</f>
        <v/>
      </c>
      <c r="D15" s="11">
        <f>ROUND('US Assumptions'!D24*'US Assumptions'!$B$28,0)</f>
        <v/>
      </c>
    </row>
    <row r="16">
      <c r="A16" t="inlineStr">
        <is>
          <t>SMB new ARR</t>
        </is>
      </c>
      <c r="B16" s="12">
        <f>B14*'US Assumptions'!$B$10</f>
        <v/>
      </c>
      <c r="C16" s="12">
        <f>C14*'US Assumptions'!$B$10</f>
        <v/>
      </c>
      <c r="D16" s="12">
        <f>D14*'US Assumptions'!$B$10</f>
        <v/>
      </c>
    </row>
    <row r="17">
      <c r="A17" t="inlineStr">
        <is>
          <t>Mid new ARR</t>
        </is>
      </c>
      <c r="B17" s="12">
        <f>B15*'US Assumptions'!$B$11</f>
        <v/>
      </c>
      <c r="C17" s="12">
        <f>C15*'US Assumptions'!$B$11</f>
        <v/>
      </c>
      <c r="D17" s="12">
        <f>D15*'US Assumptions'!$B$11</f>
        <v/>
      </c>
    </row>
    <row r="18">
      <c r="A18" t="inlineStr">
        <is>
          <t>SMB ending ARR</t>
        </is>
      </c>
      <c r="B18" s="12">
        <f>B16</f>
        <v/>
      </c>
      <c r="C18" s="12">
        <f>B18*'US Assumptions'!$B$16+C16</f>
        <v/>
      </c>
      <c r="D18" s="12">
        <f>C18*'US Assumptions'!$B$16+D16</f>
        <v/>
      </c>
    </row>
    <row r="19">
      <c r="A19" t="inlineStr">
        <is>
          <t>Mid ending ARR</t>
        </is>
      </c>
      <c r="B19" s="12">
        <f>B17</f>
        <v/>
      </c>
      <c r="C19" s="12">
        <f>B19*'US Assumptions'!$B$17+C17</f>
        <v/>
      </c>
      <c r="D19" s="12">
        <f>C19*'US Assumptions'!$B$17+D17</f>
        <v/>
      </c>
    </row>
    <row r="20">
      <c r="A20" t="inlineStr">
        <is>
          <t>Total ending ARR</t>
        </is>
      </c>
      <c r="B20" s="13">
        <f>B18+B19</f>
        <v/>
      </c>
      <c r="C20" s="13">
        <f>C18+C19</f>
        <v/>
      </c>
      <c r="D20" s="13">
        <f>D18+D19</f>
        <v/>
      </c>
    </row>
    <row r="21">
      <c r="A21" t="inlineStr">
        <is>
          <t>Services (one-time)</t>
        </is>
      </c>
      <c r="B21" s="12">
        <f>B14*'US Assumptions'!$B$12+B15*'US Assumptions'!$B$13</f>
        <v/>
      </c>
      <c r="C21" s="12">
        <f>C14*'US Assumptions'!$B$12+C15*'US Assumptions'!$B$13</f>
        <v/>
      </c>
      <c r="D21" s="12">
        <f>D14*'US Assumptions'!$B$12+D15*'US Assumptions'!$B$13</f>
        <v/>
      </c>
    </row>
    <row r="24">
      <c r="A24" s="2" t="inlineStr">
        <is>
          <t>BASE SCENARIO</t>
        </is>
      </c>
    </row>
    <row r="25">
      <c r="A25" s="8" t="inlineStr"/>
      <c r="B25" s="9" t="inlineStr">
        <is>
          <t>Y1</t>
        </is>
      </c>
      <c r="C25" s="9" t="inlineStr">
        <is>
          <t>Y2</t>
        </is>
      </c>
      <c r="D25" s="9" t="inlineStr">
        <is>
          <t>Y3</t>
        </is>
      </c>
    </row>
    <row r="26">
      <c r="A26" t="inlineStr">
        <is>
          <t>SMB new logos</t>
        </is>
      </c>
      <c r="B26" s="11">
        <f>ROUND('US Assumptions'!B23*'US Assumptions'!$C$28,0)</f>
        <v/>
      </c>
      <c r="C26" s="11">
        <f>ROUND('US Assumptions'!C23*'US Assumptions'!$C$28,0)</f>
        <v/>
      </c>
      <c r="D26" s="11">
        <f>ROUND('US Assumptions'!D23*'US Assumptions'!$C$28,0)</f>
        <v/>
      </c>
    </row>
    <row r="27">
      <c r="A27" t="inlineStr">
        <is>
          <t>Mid new logos</t>
        </is>
      </c>
      <c r="B27" s="11">
        <f>ROUND('US Assumptions'!B24*'US Assumptions'!$C$28,0)</f>
        <v/>
      </c>
      <c r="C27" s="11">
        <f>ROUND('US Assumptions'!C24*'US Assumptions'!$C$28,0)</f>
        <v/>
      </c>
      <c r="D27" s="11">
        <f>ROUND('US Assumptions'!D24*'US Assumptions'!$C$28,0)</f>
        <v/>
      </c>
    </row>
    <row r="28">
      <c r="A28" t="inlineStr">
        <is>
          <t>SMB new ARR</t>
        </is>
      </c>
      <c r="B28" s="12">
        <f>B26*'US Assumptions'!$B$10</f>
        <v/>
      </c>
      <c r="C28" s="12">
        <f>C26*'US Assumptions'!$B$10</f>
        <v/>
      </c>
      <c r="D28" s="12">
        <f>D26*'US Assumptions'!$B$10</f>
        <v/>
      </c>
    </row>
    <row r="29">
      <c r="A29" t="inlineStr">
        <is>
          <t>Mid new ARR</t>
        </is>
      </c>
      <c r="B29" s="12">
        <f>B27*'US Assumptions'!$B$11</f>
        <v/>
      </c>
      <c r="C29" s="12">
        <f>C27*'US Assumptions'!$B$11</f>
        <v/>
      </c>
      <c r="D29" s="12">
        <f>D27*'US Assumptions'!$B$11</f>
        <v/>
      </c>
    </row>
    <row r="30">
      <c r="A30" t="inlineStr">
        <is>
          <t>SMB ending ARR</t>
        </is>
      </c>
      <c r="B30" s="12">
        <f>B28</f>
        <v/>
      </c>
      <c r="C30" s="12">
        <f>B30*'US Assumptions'!$B$16+C28</f>
        <v/>
      </c>
      <c r="D30" s="12">
        <f>C30*'US Assumptions'!$B$16+D28</f>
        <v/>
      </c>
    </row>
    <row r="31">
      <c r="A31" t="inlineStr">
        <is>
          <t>Mid ending ARR</t>
        </is>
      </c>
      <c r="B31" s="12">
        <f>B29</f>
        <v/>
      </c>
      <c r="C31" s="12">
        <f>B31*'US Assumptions'!$B$17+C29</f>
        <v/>
      </c>
      <c r="D31" s="12">
        <f>C31*'US Assumptions'!$B$17+D29</f>
        <v/>
      </c>
    </row>
    <row r="32">
      <c r="A32" t="inlineStr">
        <is>
          <t>Total ending ARR</t>
        </is>
      </c>
      <c r="B32" s="13">
        <f>B30+B31</f>
        <v/>
      </c>
      <c r="C32" s="13">
        <f>C30+C31</f>
        <v/>
      </c>
      <c r="D32" s="13">
        <f>D30+D31</f>
        <v/>
      </c>
    </row>
    <row r="33">
      <c r="A33" t="inlineStr">
        <is>
          <t>Services (one-time)</t>
        </is>
      </c>
      <c r="B33" s="12">
        <f>B26*'US Assumptions'!$B$12+B27*'US Assumptions'!$B$13</f>
        <v/>
      </c>
      <c r="C33" s="12">
        <f>C26*'US Assumptions'!$B$12+C27*'US Assumptions'!$B$13</f>
        <v/>
      </c>
      <c r="D33" s="12">
        <f>D26*'US Assumptions'!$B$12+D27*'US Assumptions'!$B$13</f>
        <v/>
      </c>
    </row>
    <row r="36">
      <c r="A36" s="2" t="inlineStr">
        <is>
          <t>HIGH SCENARIO</t>
        </is>
      </c>
    </row>
    <row r="37">
      <c r="A37" s="8" t="inlineStr"/>
      <c r="B37" s="9" t="inlineStr">
        <is>
          <t>Y1</t>
        </is>
      </c>
      <c r="C37" s="9" t="inlineStr">
        <is>
          <t>Y2</t>
        </is>
      </c>
      <c r="D37" s="9" t="inlineStr">
        <is>
          <t>Y3</t>
        </is>
      </c>
    </row>
    <row r="38">
      <c r="A38" t="inlineStr">
        <is>
          <t>SMB new logos</t>
        </is>
      </c>
      <c r="B38" s="11">
        <f>ROUND('US Assumptions'!B23*'US Assumptions'!$D$28,0)</f>
        <v/>
      </c>
      <c r="C38" s="11">
        <f>ROUND('US Assumptions'!C23*'US Assumptions'!$D$28,0)</f>
        <v/>
      </c>
      <c r="D38" s="11">
        <f>ROUND('US Assumptions'!D23*'US Assumptions'!$D$28,0)</f>
        <v/>
      </c>
    </row>
    <row r="39">
      <c r="A39" t="inlineStr">
        <is>
          <t>Mid new logos</t>
        </is>
      </c>
      <c r="B39" s="11">
        <f>ROUND('US Assumptions'!B24*'US Assumptions'!$D$28,0)</f>
        <v/>
      </c>
      <c r="C39" s="11">
        <f>ROUND('US Assumptions'!C24*'US Assumptions'!$D$28,0)</f>
        <v/>
      </c>
      <c r="D39" s="11">
        <f>ROUND('US Assumptions'!D24*'US Assumptions'!$D$28,0)</f>
        <v/>
      </c>
    </row>
    <row r="40">
      <c r="A40" t="inlineStr">
        <is>
          <t>SMB new ARR</t>
        </is>
      </c>
      <c r="B40" s="12">
        <f>B38*'US Assumptions'!$B$10</f>
        <v/>
      </c>
      <c r="C40" s="12">
        <f>C38*'US Assumptions'!$B$10</f>
        <v/>
      </c>
      <c r="D40" s="12">
        <f>D38*'US Assumptions'!$B$10</f>
        <v/>
      </c>
    </row>
    <row r="41">
      <c r="A41" t="inlineStr">
        <is>
          <t>Mid new ARR</t>
        </is>
      </c>
      <c r="B41" s="12">
        <f>B39*'US Assumptions'!$B$11</f>
        <v/>
      </c>
      <c r="C41" s="12">
        <f>C39*'US Assumptions'!$B$11</f>
        <v/>
      </c>
      <c r="D41" s="12">
        <f>D39*'US Assumptions'!$B$11</f>
        <v/>
      </c>
    </row>
    <row r="42">
      <c r="A42" t="inlineStr">
        <is>
          <t>SMB ending ARR</t>
        </is>
      </c>
      <c r="B42" s="12">
        <f>B40</f>
        <v/>
      </c>
      <c r="C42" s="12">
        <f>B42*'US Assumptions'!$B$16+C40</f>
        <v/>
      </c>
      <c r="D42" s="12">
        <f>C42*'US Assumptions'!$B$16+D40</f>
        <v/>
      </c>
    </row>
    <row r="43">
      <c r="A43" t="inlineStr">
        <is>
          <t>Mid ending ARR</t>
        </is>
      </c>
      <c r="B43" s="12">
        <f>B41</f>
        <v/>
      </c>
      <c r="C43" s="12">
        <f>B43*'US Assumptions'!$B$17+C41</f>
        <v/>
      </c>
      <c r="D43" s="12">
        <f>C43*'US Assumptions'!$B$17+D41</f>
        <v/>
      </c>
    </row>
    <row r="44">
      <c r="A44" t="inlineStr">
        <is>
          <t>Total ending ARR</t>
        </is>
      </c>
      <c r="B44" s="13">
        <f>B42+B43</f>
        <v/>
      </c>
      <c r="C44" s="13">
        <f>C42+C43</f>
        <v/>
      </c>
      <c r="D44" s="13">
        <f>D42+D43</f>
        <v/>
      </c>
    </row>
    <row r="45">
      <c r="A45" t="inlineStr">
        <is>
          <t>Services (one-time)</t>
        </is>
      </c>
      <c r="B45" s="12">
        <f>B38*'US Assumptions'!$B$12+B39*'US Assumptions'!$B$13</f>
        <v/>
      </c>
      <c r="C45" s="12">
        <f>C38*'US Assumptions'!$B$12+C39*'US Assumptions'!$B$13</f>
        <v/>
      </c>
      <c r="D45" s="12">
        <f>D38*'US Assumptions'!$B$12+D39*'US Assumptions'!$B$13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Unit Economics (US)</t>
        </is>
      </c>
    </row>
    <row r="3">
      <c r="A3" s="14" t="inlineStr">
        <is>
          <t>Metric</t>
        </is>
      </c>
      <c r="B3" s="9" t="inlineStr">
        <is>
          <t>SMB</t>
        </is>
      </c>
      <c r="C3" s="9" t="inlineStr">
        <is>
          <t>Mid</t>
        </is>
      </c>
      <c r="D3" s="9" t="inlineStr">
        <is>
          <t>Blended</t>
        </is>
      </c>
      <c r="E3" s="8" t="inlineStr">
        <is>
          <t>weights</t>
        </is>
      </c>
      <c r="F3" s="8" t="inlineStr">
        <is>
          <t>n</t>
        </is>
      </c>
    </row>
    <row r="4">
      <c r="A4" t="inlineStr">
        <is>
          <t>ACV / yr</t>
        </is>
      </c>
      <c r="B4" s="12">
        <f>'US Assumptions'!B10</f>
        <v/>
      </c>
      <c r="C4" s="12">
        <f>'US Assumptions'!B11</f>
        <v/>
      </c>
      <c r="D4" s="10">
        <f>(B4*$F$4+C4*$F$5)/($F$4+$F$5)</f>
        <v/>
      </c>
      <c r="E4" t="inlineStr">
        <is>
          <t>SMB logos (Base)</t>
        </is>
      </c>
      <c r="F4" s="15">
        <f>SUM('US Assumptions'!B23:D23)</f>
        <v/>
      </c>
    </row>
    <row r="5">
      <c r="A5" t="inlineStr">
        <is>
          <t>Sites per customer</t>
        </is>
      </c>
      <c r="B5" s="11">
        <f>'US Assumptions'!B42</f>
        <v/>
      </c>
      <c r="C5" s="11">
        <f>'US Assumptions'!B43</f>
        <v/>
      </c>
      <c r="E5" t="inlineStr">
        <is>
          <t>Mid logos (Base)</t>
        </is>
      </c>
      <c r="F5" s="15">
        <f>SUM('US Assumptions'!B24:D24)</f>
        <v/>
      </c>
    </row>
    <row r="6">
      <c r="A6" t="inlineStr">
        <is>
          <t>COGS — hosting &amp; infra</t>
        </is>
      </c>
      <c r="B6" s="12">
        <f>B5*'US Assumptions'!$B$36</f>
        <v/>
      </c>
      <c r="C6" s="12">
        <f>C5*'US Assumptions'!$B$36</f>
        <v/>
      </c>
    </row>
    <row r="7">
      <c r="A7" t="inlineStr">
        <is>
          <t>COGS — CAD-conversion compute</t>
        </is>
      </c>
      <c r="B7" s="12">
        <f>B5*'US Assumptions'!$B$37</f>
        <v/>
      </c>
      <c r="C7" s="12">
        <f>C5*'US Assumptions'!$B$37</f>
        <v/>
      </c>
    </row>
    <row r="8">
      <c r="A8" t="inlineStr">
        <is>
          <t>COGS — support / CS</t>
        </is>
      </c>
      <c r="B8" s="12">
        <f>B5*'US Assumptions'!$B$38</f>
        <v/>
      </c>
      <c r="C8" s="12">
        <f>C5*'US Assumptions'!$B$38</f>
        <v/>
      </c>
    </row>
    <row r="9">
      <c r="A9" t="inlineStr">
        <is>
          <t>COGS — payments</t>
        </is>
      </c>
      <c r="B9" s="12">
        <f>B4*'US Assumptions'!$B$39</f>
        <v/>
      </c>
      <c r="C9" s="12">
        <f>C4*'US Assumptions'!$B$39</f>
        <v/>
      </c>
    </row>
    <row r="10">
      <c r="A10" t="inlineStr">
        <is>
          <t>Total COGS</t>
        </is>
      </c>
      <c r="B10" s="12">
        <f>SUM(B6:B9)</f>
        <v/>
      </c>
      <c r="C10" s="12">
        <f>SUM(C6:C9)</f>
        <v/>
      </c>
      <c r="D10" s="10">
        <f>(B10*$F$4+C10*$F$5)/($F$4+$F$5)</f>
        <v/>
      </c>
    </row>
    <row r="11">
      <c r="A11" t="inlineStr">
        <is>
          <t>Gross profit / yr</t>
        </is>
      </c>
      <c r="B11" s="12">
        <f>B4-B10</f>
        <v/>
      </c>
      <c r="C11" s="12">
        <f>C4-C10</f>
        <v/>
      </c>
      <c r="D11" s="10">
        <f>(B11*$F$4+C11*$F$5)/($F$4+$F$5)</f>
        <v/>
      </c>
    </row>
    <row r="12">
      <c r="A12" s="8" t="inlineStr">
        <is>
          <t>Gross margin %</t>
        </is>
      </c>
      <c r="B12" s="16">
        <f>B11/B4</f>
        <v/>
      </c>
      <c r="C12" s="16">
        <f>C11/C4</f>
        <v/>
      </c>
      <c r="D12" s="17">
        <f>D11/D4</f>
        <v/>
      </c>
    </row>
    <row r="14">
      <c r="A14" t="inlineStr">
        <is>
          <t>CAC per logo</t>
        </is>
      </c>
      <c r="B14" s="12">
        <f>'US Assumptions'!B31</f>
        <v/>
      </c>
      <c r="C14" s="12">
        <f>'US Assumptions'!B32</f>
        <v/>
      </c>
      <c r="D14" s="10">
        <f>(B14*$F$4+C14*$F$5)/($F$4+$F$5)</f>
        <v/>
      </c>
    </row>
    <row r="15">
      <c r="A15" t="inlineStr">
        <is>
          <t>Onboarding fee</t>
        </is>
      </c>
      <c r="B15" s="12">
        <f>'US Assumptions'!B12</f>
        <v/>
      </c>
      <c r="C15" s="12">
        <f>'US Assumptions'!B13</f>
        <v/>
      </c>
    </row>
    <row r="16">
      <c r="A16" t="inlineStr">
        <is>
          <t>Onboarding gross profit</t>
        </is>
      </c>
      <c r="B16" s="12">
        <f>B15*'US Assumptions'!$B$33</f>
        <v/>
      </c>
      <c r="C16" s="12">
        <f>C15*'US Assumptions'!$B$33</f>
        <v/>
      </c>
    </row>
    <row r="17">
      <c r="A17" t="inlineStr">
        <is>
          <t>Net CAC (CAC − onb. GP)</t>
        </is>
      </c>
      <c r="B17" s="12">
        <f>B14-B16</f>
        <v/>
      </c>
      <c r="C17" s="12">
        <f>C14-C16</f>
        <v/>
      </c>
      <c r="D17" s="10">
        <f>(B17*$F$4+C17*$F$5)/($F$4+$F$5)</f>
        <v/>
      </c>
    </row>
    <row r="19">
      <c r="A19" t="inlineStr">
        <is>
          <t>Monthly gross profit</t>
        </is>
      </c>
      <c r="B19" s="12">
        <f>B11/12</f>
        <v/>
      </c>
      <c r="C19" s="12">
        <f>C11/12</f>
        <v/>
      </c>
    </row>
    <row r="20">
      <c r="A20" t="inlineStr">
        <is>
          <t>CAC payback (gross)</t>
        </is>
      </c>
      <c r="B20" s="18">
        <f>B14/B19</f>
        <v/>
      </c>
      <c r="C20" s="18">
        <f>C14/C19</f>
        <v/>
      </c>
      <c r="D20" s="19">
        <f>D14/(D11/12)</f>
        <v/>
      </c>
    </row>
    <row r="21">
      <c r="A21" s="8" t="inlineStr">
        <is>
          <t>Net CAC payback</t>
        </is>
      </c>
      <c r="B21" s="18">
        <f>B17/B19</f>
        <v/>
      </c>
      <c r="C21" s="18">
        <f>C17/C19</f>
        <v/>
      </c>
      <c r="D21" s="19">
        <f>D17/(D11/12)</f>
        <v/>
      </c>
    </row>
    <row r="23">
      <c r="A23" t="inlineStr">
        <is>
          <t>Logo churn / yr</t>
        </is>
      </c>
      <c r="B23" s="16">
        <f>'US Assumptions'!B18</f>
        <v/>
      </c>
      <c r="C23" s="16">
        <f>'US Assumptions'!B19</f>
        <v/>
      </c>
    </row>
    <row r="24">
      <c r="A24" t="inlineStr">
        <is>
          <t>Customer lifetime (yrs)</t>
        </is>
      </c>
      <c r="B24" s="20">
        <f>1/B23</f>
        <v/>
      </c>
      <c r="C24" s="20">
        <f>1/C23</f>
        <v/>
      </c>
    </row>
    <row r="25">
      <c r="A25" t="inlineStr">
        <is>
          <t>LTV (gross margin)</t>
        </is>
      </c>
      <c r="B25" s="12">
        <f>B11*B24</f>
        <v/>
      </c>
      <c r="C25" s="12">
        <f>C11*C24</f>
        <v/>
      </c>
      <c r="D25" s="10">
        <f>(B25*$F$4+C25*$F$5)/($F$4+$F$5)</f>
        <v/>
      </c>
    </row>
    <row r="26">
      <c r="A26" t="inlineStr">
        <is>
          <t>LTV:CAC (gross)</t>
        </is>
      </c>
      <c r="B26" s="21">
        <f>B25/B14</f>
        <v/>
      </c>
      <c r="C26" s="21">
        <f>C25/C14</f>
        <v/>
      </c>
      <c r="D26" s="22">
        <f>D25/D14</f>
        <v/>
      </c>
    </row>
    <row r="27">
      <c r="A27" s="8" t="inlineStr">
        <is>
          <t>LTV:CAC (net CAC)</t>
        </is>
      </c>
      <c r="B27" s="21">
        <f>B25/B17</f>
        <v/>
      </c>
      <c r="C27" s="21">
        <f>C25/C17</f>
        <v/>
      </c>
      <c r="D27" s="22">
        <f>D25/D17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Model Assumptions (INR, ex-GST) — edit the blue cells</t>
        </is>
      </c>
    </row>
    <row r="3">
      <c r="A3" s="2" t="inlineStr">
        <is>
          <t>PRICING (per site / year)</t>
        </is>
      </c>
    </row>
    <row r="4">
      <c r="A4" t="inlineStr">
        <is>
          <t>Core MES</t>
        </is>
      </c>
      <c r="B4" s="23" t="n">
        <v>144000</v>
      </c>
    </row>
    <row r="5">
      <c r="A5" t="inlineStr">
        <is>
          <t>Quality &amp; Traceability</t>
        </is>
      </c>
      <c r="B5" s="23" t="n">
        <v>360000</v>
      </c>
    </row>
    <row r="6">
      <c r="A6" t="inlineStr">
        <is>
          <t>Digital Twin / AR</t>
        </is>
      </c>
      <c r="B6" s="23" t="n">
        <v>600000</v>
      </c>
    </row>
    <row r="7">
      <c r="A7" t="inlineStr">
        <is>
          <t>Office/admin seat / yr</t>
        </is>
      </c>
      <c r="B7" s="23" t="n">
        <v>10800</v>
      </c>
    </row>
    <row r="9">
      <c r="A9" s="2" t="inlineStr">
        <is>
          <t>SEGMENT ECONOMICS</t>
        </is>
      </c>
    </row>
    <row r="10">
      <c r="A10" t="inlineStr">
        <is>
          <t>SMB blended ACV</t>
        </is>
      </c>
      <c r="B10" s="23" t="n">
        <v>250000</v>
      </c>
    </row>
    <row r="11">
      <c r="A11" t="inlineStr">
        <is>
          <t>Mid-market blended ACV</t>
        </is>
      </c>
      <c r="B11" s="23" t="n">
        <v>1750000</v>
      </c>
    </row>
    <row r="12">
      <c r="A12" t="inlineStr">
        <is>
          <t>SMB onboarding (one-time)</t>
        </is>
      </c>
      <c r="B12" s="23" t="n">
        <v>50000</v>
      </c>
    </row>
    <row r="13">
      <c r="A13" t="inlineStr">
        <is>
          <t>Mid onboarding (one-time)</t>
        </is>
      </c>
      <c r="B13" s="23" t="n">
        <v>350000</v>
      </c>
    </row>
    <row r="15">
      <c r="A15" s="2" t="inlineStr">
        <is>
          <t>RETENTION</t>
        </is>
      </c>
    </row>
    <row r="16">
      <c r="A16" t="inlineStr">
        <is>
          <t>SMB net revenue retention</t>
        </is>
      </c>
      <c r="B16" s="4" t="n">
        <v>0.95</v>
      </c>
    </row>
    <row r="17">
      <c r="A17" t="inlineStr">
        <is>
          <t>Mid NRR</t>
        </is>
      </c>
      <c r="B17" s="4" t="n">
        <v>1.1</v>
      </c>
    </row>
    <row r="18">
      <c r="A18" t="inlineStr">
        <is>
          <t>SMB logo churn / yr</t>
        </is>
      </c>
      <c r="B18" s="4" t="n">
        <v>0.2</v>
      </c>
    </row>
    <row r="19">
      <c r="A19" t="inlineStr">
        <is>
          <t>Mid logo churn / yr</t>
        </is>
      </c>
      <c r="B19" s="4" t="n">
        <v>0.1</v>
      </c>
    </row>
    <row r="21">
      <c r="A21" s="2" t="inlineStr">
        <is>
          <t>NEW-LOGO PLAN (Base scenario)</t>
        </is>
      </c>
    </row>
    <row r="22">
      <c r="B22" s="5" t="inlineStr">
        <is>
          <t>Y1</t>
        </is>
      </c>
      <c r="C22" s="5" t="inlineStr">
        <is>
          <t>Y2</t>
        </is>
      </c>
      <c r="D22" s="5" t="inlineStr">
        <is>
          <t>Y3</t>
        </is>
      </c>
    </row>
    <row r="23">
      <c r="A23" t="inlineStr">
        <is>
          <t>SMB new logos</t>
        </is>
      </c>
      <c r="B23" s="6" t="n">
        <v>20</v>
      </c>
      <c r="C23" s="6" t="n">
        <v>50</v>
      </c>
      <c r="D23" s="6" t="n">
        <v>90</v>
      </c>
    </row>
    <row r="24">
      <c r="A24" t="inlineStr">
        <is>
          <t>Mid new logos</t>
        </is>
      </c>
      <c r="B24" s="6" t="n">
        <v>3</v>
      </c>
      <c r="C24" s="6" t="n">
        <v>8</v>
      </c>
      <c r="D24" s="6" t="n">
        <v>15</v>
      </c>
    </row>
    <row r="26">
      <c r="A26" s="2" t="inlineStr">
        <is>
          <t>SCENARIO MULTIPLIERS</t>
        </is>
      </c>
    </row>
    <row r="27">
      <c r="B27" s="5" t="inlineStr">
        <is>
          <t>Low</t>
        </is>
      </c>
      <c r="C27" s="5" t="inlineStr">
        <is>
          <t>Base</t>
        </is>
      </c>
      <c r="D27" s="5" t="inlineStr">
        <is>
          <t>High</t>
        </is>
      </c>
    </row>
    <row r="28">
      <c r="A28" t="inlineStr">
        <is>
          <t>× Base plan</t>
        </is>
      </c>
      <c r="B28" s="7" t="n">
        <v>0.6</v>
      </c>
      <c r="C28" s="7" t="n">
        <v>1</v>
      </c>
      <c r="D28" s="7" t="n">
        <v>1.5</v>
      </c>
    </row>
    <row r="30">
      <c r="A30" s="2" t="inlineStr">
        <is>
          <t>UNIT ECONOMICS INPUTS</t>
        </is>
      </c>
    </row>
    <row r="31">
      <c r="A31" t="inlineStr">
        <is>
          <t>SMB CAC per logo</t>
        </is>
      </c>
      <c r="B31" s="23" t="n">
        <v>125000</v>
      </c>
    </row>
    <row r="32">
      <c r="A32" t="inlineStr">
        <is>
          <t>Mid CAC per logo</t>
        </is>
      </c>
      <c r="B32" s="23" t="n">
        <v>800000</v>
      </c>
    </row>
    <row r="33">
      <c r="A33" t="inlineStr">
        <is>
          <t>Onboarding gross margin %</t>
        </is>
      </c>
      <c r="B33" s="4" t="n">
        <v>0.4</v>
      </c>
    </row>
    <row r="35">
      <c r="A35" s="2" t="inlineStr">
        <is>
          <t>COGS per SITE / year</t>
        </is>
      </c>
    </row>
    <row r="36">
      <c r="A36" t="inlineStr">
        <is>
          <t>Hosting &amp; infra (USD-priced)</t>
        </is>
      </c>
      <c r="B36" s="23" t="n">
        <v>35000</v>
      </c>
    </row>
    <row r="37">
      <c r="A37" t="inlineStr">
        <is>
          <t>CAD-conversion compute (USD-priced)</t>
        </is>
      </c>
      <c r="B37" s="23" t="n">
        <v>100000</v>
      </c>
    </row>
    <row r="38">
      <c r="A38" t="inlineStr">
        <is>
          <t>Support / CS</t>
        </is>
      </c>
      <c r="B38" s="23" t="n">
        <v>20000</v>
      </c>
    </row>
    <row r="39">
      <c r="A39" t="inlineStr">
        <is>
          <t>Payment processing (% of ACV)</t>
        </is>
      </c>
      <c r="B39" s="4" t="n">
        <v>0.02</v>
      </c>
    </row>
    <row r="41">
      <c r="A41" s="2" t="inlineStr">
        <is>
          <t>SITES PER CUSTOMER</t>
        </is>
      </c>
    </row>
    <row r="42">
      <c r="A42" t="inlineStr">
        <is>
          <t>SMB sites</t>
        </is>
      </c>
      <c r="B42" s="6" t="n">
        <v>1</v>
      </c>
    </row>
    <row r="43">
      <c r="A43" t="inlineStr">
        <is>
          <t>Mid sites</t>
        </is>
      </c>
      <c r="B43" s="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ARR Model — ending ARR by scenario (India)</t>
        </is>
      </c>
    </row>
    <row r="3">
      <c r="A3" s="2" t="inlineStr">
        <is>
          <t>ENDING ARR BY SCENARIO</t>
        </is>
      </c>
    </row>
    <row r="4">
      <c r="A4" s="8" t="inlineStr"/>
      <c r="B4" s="9" t="inlineStr">
        <is>
          <t>Y1</t>
        </is>
      </c>
      <c r="C4" s="9" t="inlineStr">
        <is>
          <t>Y2</t>
        </is>
      </c>
      <c r="D4" s="9" t="inlineStr">
        <is>
          <t>Y3</t>
        </is>
      </c>
    </row>
    <row r="5">
      <c r="A5" s="8" t="inlineStr">
        <is>
          <t>Low</t>
        </is>
      </c>
      <c r="B5" s="24">
        <f>B20</f>
        <v/>
      </c>
      <c r="C5" s="24">
        <f>C20</f>
        <v/>
      </c>
      <c r="D5" s="24">
        <f>D20</f>
        <v/>
      </c>
    </row>
    <row r="6">
      <c r="A6" s="8" t="inlineStr">
        <is>
          <t>Base</t>
        </is>
      </c>
      <c r="B6" s="24">
        <f>B32</f>
        <v/>
      </c>
      <c r="C6" s="24">
        <f>C32</f>
        <v/>
      </c>
      <c r="D6" s="24">
        <f>D32</f>
        <v/>
      </c>
    </row>
    <row r="7">
      <c r="A7" s="8" t="inlineStr">
        <is>
          <t>High</t>
        </is>
      </c>
      <c r="B7" s="24">
        <f>B44</f>
        <v/>
      </c>
      <c r="C7" s="24">
        <f>C44</f>
        <v/>
      </c>
      <c r="D7" s="24">
        <f>D44</f>
        <v/>
      </c>
    </row>
    <row r="9">
      <c r="A9" s="8" t="inlineStr">
        <is>
          <t>Services revenue (one-time, Base)</t>
        </is>
      </c>
      <c r="B9" s="24">
        <f>B33</f>
        <v/>
      </c>
      <c r="C9" s="24">
        <f>C33</f>
        <v/>
      </c>
      <c r="D9" s="24">
        <f>D33</f>
        <v/>
      </c>
    </row>
    <row r="12">
      <c r="A12" s="2" t="inlineStr">
        <is>
          <t>LOW SCENARIO</t>
        </is>
      </c>
    </row>
    <row r="13">
      <c r="A13" s="8" t="inlineStr"/>
      <c r="B13" s="9" t="inlineStr">
        <is>
          <t>Y1</t>
        </is>
      </c>
      <c r="C13" s="9" t="inlineStr">
        <is>
          <t>Y2</t>
        </is>
      </c>
      <c r="D13" s="9" t="inlineStr">
        <is>
          <t>Y3</t>
        </is>
      </c>
    </row>
    <row r="14">
      <c r="A14" t="inlineStr">
        <is>
          <t>SMB new logos</t>
        </is>
      </c>
      <c r="B14" s="11">
        <f>ROUND('India Assumptions'!B23*'India Assumptions'!$B$28,0)</f>
        <v/>
      </c>
      <c r="C14" s="11">
        <f>ROUND('India Assumptions'!C23*'India Assumptions'!$B$28,0)</f>
        <v/>
      </c>
      <c r="D14" s="11">
        <f>ROUND('India Assumptions'!D23*'India Assumptions'!$B$28,0)</f>
        <v/>
      </c>
    </row>
    <row r="15">
      <c r="A15" t="inlineStr">
        <is>
          <t>Mid new logos</t>
        </is>
      </c>
      <c r="B15" s="11">
        <f>ROUND('India Assumptions'!B24*'India Assumptions'!$B$28,0)</f>
        <v/>
      </c>
      <c r="C15" s="11">
        <f>ROUND('India Assumptions'!C24*'India Assumptions'!$B$28,0)</f>
        <v/>
      </c>
      <c r="D15" s="11">
        <f>ROUND('India Assumptions'!D24*'India Assumptions'!$B$28,0)</f>
        <v/>
      </c>
    </row>
    <row r="16">
      <c r="A16" t="inlineStr">
        <is>
          <t>SMB new ARR</t>
        </is>
      </c>
      <c r="B16" s="25">
        <f>B14*'India Assumptions'!$B$10</f>
        <v/>
      </c>
      <c r="C16" s="25">
        <f>C14*'India Assumptions'!$B$10</f>
        <v/>
      </c>
      <c r="D16" s="25">
        <f>D14*'India Assumptions'!$B$10</f>
        <v/>
      </c>
    </row>
    <row r="17">
      <c r="A17" t="inlineStr">
        <is>
          <t>Mid new ARR</t>
        </is>
      </c>
      <c r="B17" s="25">
        <f>B15*'India Assumptions'!$B$11</f>
        <v/>
      </c>
      <c r="C17" s="25">
        <f>C15*'India Assumptions'!$B$11</f>
        <v/>
      </c>
      <c r="D17" s="25">
        <f>D15*'India Assumptions'!$B$11</f>
        <v/>
      </c>
    </row>
    <row r="18">
      <c r="A18" t="inlineStr">
        <is>
          <t>SMB ending ARR</t>
        </is>
      </c>
      <c r="B18" s="25">
        <f>B16</f>
        <v/>
      </c>
      <c r="C18" s="25">
        <f>B18*'India Assumptions'!$B$16+C16</f>
        <v/>
      </c>
      <c r="D18" s="25">
        <f>C18*'India Assumptions'!$B$16+D16</f>
        <v/>
      </c>
    </row>
    <row r="19">
      <c r="A19" t="inlineStr">
        <is>
          <t>Mid ending ARR</t>
        </is>
      </c>
      <c r="B19" s="25">
        <f>B17</f>
        <v/>
      </c>
      <c r="C19" s="25">
        <f>B19*'India Assumptions'!$B$17+C17</f>
        <v/>
      </c>
      <c r="D19" s="25">
        <f>C19*'India Assumptions'!$B$17+D17</f>
        <v/>
      </c>
    </row>
    <row r="20">
      <c r="A20" t="inlineStr">
        <is>
          <t>Total ending ARR</t>
        </is>
      </c>
      <c r="B20" s="26">
        <f>B18+B19</f>
        <v/>
      </c>
      <c r="C20" s="26">
        <f>C18+C19</f>
        <v/>
      </c>
      <c r="D20" s="26">
        <f>D18+D19</f>
        <v/>
      </c>
    </row>
    <row r="21">
      <c r="A21" t="inlineStr">
        <is>
          <t>Services (one-time)</t>
        </is>
      </c>
      <c r="B21" s="25">
        <f>B14*'India Assumptions'!$B$12+B15*'India Assumptions'!$B$13</f>
        <v/>
      </c>
      <c r="C21" s="25">
        <f>C14*'India Assumptions'!$B$12+C15*'India Assumptions'!$B$13</f>
        <v/>
      </c>
      <c r="D21" s="25">
        <f>D14*'India Assumptions'!$B$12+D15*'India Assumptions'!$B$13</f>
        <v/>
      </c>
    </row>
    <row r="24">
      <c r="A24" s="2" t="inlineStr">
        <is>
          <t>BASE SCENARIO</t>
        </is>
      </c>
    </row>
    <row r="25">
      <c r="A25" s="8" t="inlineStr"/>
      <c r="B25" s="9" t="inlineStr">
        <is>
          <t>Y1</t>
        </is>
      </c>
      <c r="C25" s="9" t="inlineStr">
        <is>
          <t>Y2</t>
        </is>
      </c>
      <c r="D25" s="9" t="inlineStr">
        <is>
          <t>Y3</t>
        </is>
      </c>
    </row>
    <row r="26">
      <c r="A26" t="inlineStr">
        <is>
          <t>SMB new logos</t>
        </is>
      </c>
      <c r="B26" s="11">
        <f>ROUND('India Assumptions'!B23*'India Assumptions'!$C$28,0)</f>
        <v/>
      </c>
      <c r="C26" s="11">
        <f>ROUND('India Assumptions'!C23*'India Assumptions'!$C$28,0)</f>
        <v/>
      </c>
      <c r="D26" s="11">
        <f>ROUND('India Assumptions'!D23*'India Assumptions'!$C$28,0)</f>
        <v/>
      </c>
    </row>
    <row r="27">
      <c r="A27" t="inlineStr">
        <is>
          <t>Mid new logos</t>
        </is>
      </c>
      <c r="B27" s="11">
        <f>ROUND('India Assumptions'!B24*'India Assumptions'!$C$28,0)</f>
        <v/>
      </c>
      <c r="C27" s="11">
        <f>ROUND('India Assumptions'!C24*'India Assumptions'!$C$28,0)</f>
        <v/>
      </c>
      <c r="D27" s="11">
        <f>ROUND('India Assumptions'!D24*'India Assumptions'!$C$28,0)</f>
        <v/>
      </c>
    </row>
    <row r="28">
      <c r="A28" t="inlineStr">
        <is>
          <t>SMB new ARR</t>
        </is>
      </c>
      <c r="B28" s="25">
        <f>B26*'India Assumptions'!$B$10</f>
        <v/>
      </c>
      <c r="C28" s="25">
        <f>C26*'India Assumptions'!$B$10</f>
        <v/>
      </c>
      <c r="D28" s="25">
        <f>D26*'India Assumptions'!$B$10</f>
        <v/>
      </c>
    </row>
    <row r="29">
      <c r="A29" t="inlineStr">
        <is>
          <t>Mid new ARR</t>
        </is>
      </c>
      <c r="B29" s="25">
        <f>B27*'India Assumptions'!$B$11</f>
        <v/>
      </c>
      <c r="C29" s="25">
        <f>C27*'India Assumptions'!$B$11</f>
        <v/>
      </c>
      <c r="D29" s="25">
        <f>D27*'India Assumptions'!$B$11</f>
        <v/>
      </c>
    </row>
    <row r="30">
      <c r="A30" t="inlineStr">
        <is>
          <t>SMB ending ARR</t>
        </is>
      </c>
      <c r="B30" s="25">
        <f>B28</f>
        <v/>
      </c>
      <c r="C30" s="25">
        <f>B30*'India Assumptions'!$B$16+C28</f>
        <v/>
      </c>
      <c r="D30" s="25">
        <f>C30*'India Assumptions'!$B$16+D28</f>
        <v/>
      </c>
    </row>
    <row r="31">
      <c r="A31" t="inlineStr">
        <is>
          <t>Mid ending ARR</t>
        </is>
      </c>
      <c r="B31" s="25">
        <f>B29</f>
        <v/>
      </c>
      <c r="C31" s="25">
        <f>B31*'India Assumptions'!$B$17+C29</f>
        <v/>
      </c>
      <c r="D31" s="25">
        <f>C31*'India Assumptions'!$B$17+D29</f>
        <v/>
      </c>
    </row>
    <row r="32">
      <c r="A32" t="inlineStr">
        <is>
          <t>Total ending ARR</t>
        </is>
      </c>
      <c r="B32" s="26">
        <f>B30+B31</f>
        <v/>
      </c>
      <c r="C32" s="26">
        <f>C30+C31</f>
        <v/>
      </c>
      <c r="D32" s="26">
        <f>D30+D31</f>
        <v/>
      </c>
    </row>
    <row r="33">
      <c r="A33" t="inlineStr">
        <is>
          <t>Services (one-time)</t>
        </is>
      </c>
      <c r="B33" s="25">
        <f>B26*'India Assumptions'!$B$12+B27*'India Assumptions'!$B$13</f>
        <v/>
      </c>
      <c r="C33" s="25">
        <f>C26*'India Assumptions'!$B$12+C27*'India Assumptions'!$B$13</f>
        <v/>
      </c>
      <c r="D33" s="25">
        <f>D26*'India Assumptions'!$B$12+D27*'India Assumptions'!$B$13</f>
        <v/>
      </c>
    </row>
    <row r="36">
      <c r="A36" s="2" t="inlineStr">
        <is>
          <t>HIGH SCENARIO</t>
        </is>
      </c>
    </row>
    <row r="37">
      <c r="A37" s="8" t="inlineStr"/>
      <c r="B37" s="9" t="inlineStr">
        <is>
          <t>Y1</t>
        </is>
      </c>
      <c r="C37" s="9" t="inlineStr">
        <is>
          <t>Y2</t>
        </is>
      </c>
      <c r="D37" s="9" t="inlineStr">
        <is>
          <t>Y3</t>
        </is>
      </c>
    </row>
    <row r="38">
      <c r="A38" t="inlineStr">
        <is>
          <t>SMB new logos</t>
        </is>
      </c>
      <c r="B38" s="11">
        <f>ROUND('India Assumptions'!B23*'India Assumptions'!$D$28,0)</f>
        <v/>
      </c>
      <c r="C38" s="11">
        <f>ROUND('India Assumptions'!C23*'India Assumptions'!$D$28,0)</f>
        <v/>
      </c>
      <c r="D38" s="11">
        <f>ROUND('India Assumptions'!D23*'India Assumptions'!$D$28,0)</f>
        <v/>
      </c>
    </row>
    <row r="39">
      <c r="A39" t="inlineStr">
        <is>
          <t>Mid new logos</t>
        </is>
      </c>
      <c r="B39" s="11">
        <f>ROUND('India Assumptions'!B24*'India Assumptions'!$D$28,0)</f>
        <v/>
      </c>
      <c r="C39" s="11">
        <f>ROUND('India Assumptions'!C24*'India Assumptions'!$D$28,0)</f>
        <v/>
      </c>
      <c r="D39" s="11">
        <f>ROUND('India Assumptions'!D24*'India Assumptions'!$D$28,0)</f>
        <v/>
      </c>
    </row>
    <row r="40">
      <c r="A40" t="inlineStr">
        <is>
          <t>SMB new ARR</t>
        </is>
      </c>
      <c r="B40" s="25">
        <f>B38*'India Assumptions'!$B$10</f>
        <v/>
      </c>
      <c r="C40" s="25">
        <f>C38*'India Assumptions'!$B$10</f>
        <v/>
      </c>
      <c r="D40" s="25">
        <f>D38*'India Assumptions'!$B$10</f>
        <v/>
      </c>
    </row>
    <row r="41">
      <c r="A41" t="inlineStr">
        <is>
          <t>Mid new ARR</t>
        </is>
      </c>
      <c r="B41" s="25">
        <f>B39*'India Assumptions'!$B$11</f>
        <v/>
      </c>
      <c r="C41" s="25">
        <f>C39*'India Assumptions'!$B$11</f>
        <v/>
      </c>
      <c r="D41" s="25">
        <f>D39*'India Assumptions'!$B$11</f>
        <v/>
      </c>
    </row>
    <row r="42">
      <c r="A42" t="inlineStr">
        <is>
          <t>SMB ending ARR</t>
        </is>
      </c>
      <c r="B42" s="25">
        <f>B40</f>
        <v/>
      </c>
      <c r="C42" s="25">
        <f>B42*'India Assumptions'!$B$16+C40</f>
        <v/>
      </c>
      <c r="D42" s="25">
        <f>C42*'India Assumptions'!$B$16+D40</f>
        <v/>
      </c>
    </row>
    <row r="43">
      <c r="A43" t="inlineStr">
        <is>
          <t>Mid ending ARR</t>
        </is>
      </c>
      <c r="B43" s="25">
        <f>B41</f>
        <v/>
      </c>
      <c r="C43" s="25">
        <f>B43*'India Assumptions'!$B$17+C41</f>
        <v/>
      </c>
      <c r="D43" s="25">
        <f>C43*'India Assumptions'!$B$17+D41</f>
        <v/>
      </c>
    </row>
    <row r="44">
      <c r="A44" t="inlineStr">
        <is>
          <t>Total ending ARR</t>
        </is>
      </c>
      <c r="B44" s="26">
        <f>B42+B43</f>
        <v/>
      </c>
      <c r="C44" s="26">
        <f>C42+C43</f>
        <v/>
      </c>
      <c r="D44" s="26">
        <f>D42+D43</f>
        <v/>
      </c>
    </row>
    <row r="45">
      <c r="A45" t="inlineStr">
        <is>
          <t>Services (one-time)</t>
        </is>
      </c>
      <c r="B45" s="25">
        <f>B38*'India Assumptions'!$B$12+B39*'India Assumptions'!$B$13</f>
        <v/>
      </c>
      <c r="C45" s="25">
        <f>C38*'India Assumptions'!$B$12+C39*'India Assumptions'!$B$13</f>
        <v/>
      </c>
      <c r="D45" s="25">
        <f>D38*'India Assumptions'!$B$12+D39*'India Assumptions'!$B$13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Unit Economics (India)</t>
        </is>
      </c>
    </row>
    <row r="3">
      <c r="A3" s="14" t="inlineStr">
        <is>
          <t>Metric</t>
        </is>
      </c>
      <c r="B3" s="9" t="inlineStr">
        <is>
          <t>SMB</t>
        </is>
      </c>
      <c r="C3" s="9" t="inlineStr">
        <is>
          <t>Mid</t>
        </is>
      </c>
      <c r="D3" s="9" t="inlineStr">
        <is>
          <t>Blended</t>
        </is>
      </c>
      <c r="E3" s="8" t="inlineStr">
        <is>
          <t>weights</t>
        </is>
      </c>
      <c r="F3" s="8" t="inlineStr">
        <is>
          <t>n</t>
        </is>
      </c>
    </row>
    <row r="4">
      <c r="A4" t="inlineStr">
        <is>
          <t>ACV / yr</t>
        </is>
      </c>
      <c r="B4" s="25">
        <f>'India Assumptions'!B10</f>
        <v/>
      </c>
      <c r="C4" s="25">
        <f>'India Assumptions'!B11</f>
        <v/>
      </c>
      <c r="D4" s="24">
        <f>(B4*$F$4+C4*$F$5)/($F$4+$F$5)</f>
        <v/>
      </c>
      <c r="E4" t="inlineStr">
        <is>
          <t>SMB logos (Base)</t>
        </is>
      </c>
      <c r="F4" s="15">
        <f>SUM('India Assumptions'!B23:D23)</f>
        <v/>
      </c>
    </row>
    <row r="5">
      <c r="A5" t="inlineStr">
        <is>
          <t>Sites per customer</t>
        </is>
      </c>
      <c r="B5" s="11">
        <f>'India Assumptions'!B42</f>
        <v/>
      </c>
      <c r="C5" s="11">
        <f>'India Assumptions'!B43</f>
        <v/>
      </c>
      <c r="E5" t="inlineStr">
        <is>
          <t>Mid logos (Base)</t>
        </is>
      </c>
      <c r="F5" s="15">
        <f>SUM('India Assumptions'!B24:D24)</f>
        <v/>
      </c>
    </row>
    <row r="6">
      <c r="A6" t="inlineStr">
        <is>
          <t>COGS — hosting &amp; infra</t>
        </is>
      </c>
      <c r="B6" s="25">
        <f>B5*'India Assumptions'!$B$36</f>
        <v/>
      </c>
      <c r="C6" s="25">
        <f>C5*'India Assumptions'!$B$36</f>
        <v/>
      </c>
    </row>
    <row r="7">
      <c r="A7" t="inlineStr">
        <is>
          <t>COGS — CAD-conversion compute</t>
        </is>
      </c>
      <c r="B7" s="25">
        <f>0</f>
        <v/>
      </c>
      <c r="C7" s="25">
        <f>C5*'India Assumptions'!$B$37</f>
        <v/>
      </c>
    </row>
    <row r="8">
      <c r="A8" t="inlineStr">
        <is>
          <t>COGS — support / CS</t>
        </is>
      </c>
      <c r="B8" s="25">
        <f>B5*'India Assumptions'!$B$38</f>
        <v/>
      </c>
      <c r="C8" s="25">
        <f>C5*'India Assumptions'!$B$38</f>
        <v/>
      </c>
    </row>
    <row r="9">
      <c r="A9" t="inlineStr">
        <is>
          <t>COGS — payments</t>
        </is>
      </c>
      <c r="B9" s="25">
        <f>B4*'India Assumptions'!$B$39</f>
        <v/>
      </c>
      <c r="C9" s="25">
        <f>C4*'India Assumptions'!$B$39</f>
        <v/>
      </c>
    </row>
    <row r="10">
      <c r="A10" t="inlineStr">
        <is>
          <t>Total COGS</t>
        </is>
      </c>
      <c r="B10" s="25">
        <f>SUM(B6:B9)</f>
        <v/>
      </c>
      <c r="C10" s="25">
        <f>SUM(C6:C9)</f>
        <v/>
      </c>
      <c r="D10" s="24">
        <f>(B10*$F$4+C10*$F$5)/($F$4+$F$5)</f>
        <v/>
      </c>
    </row>
    <row r="11">
      <c r="A11" t="inlineStr">
        <is>
          <t>Gross profit / yr</t>
        </is>
      </c>
      <c r="B11" s="25">
        <f>B4-B10</f>
        <v/>
      </c>
      <c r="C11" s="25">
        <f>C4-C10</f>
        <v/>
      </c>
      <c r="D11" s="24">
        <f>(B11*$F$4+C11*$F$5)/($F$4+$F$5)</f>
        <v/>
      </c>
    </row>
    <row r="12">
      <c r="A12" s="8" t="inlineStr">
        <is>
          <t>Gross margin %</t>
        </is>
      </c>
      <c r="B12" s="16">
        <f>B11/B4</f>
        <v/>
      </c>
      <c r="C12" s="16">
        <f>C11/C4</f>
        <v/>
      </c>
      <c r="D12" s="17">
        <f>D11/D4</f>
        <v/>
      </c>
    </row>
    <row r="14">
      <c r="A14" t="inlineStr">
        <is>
          <t>CAC per logo</t>
        </is>
      </c>
      <c r="B14" s="25">
        <f>'India Assumptions'!B31</f>
        <v/>
      </c>
      <c r="C14" s="25">
        <f>'India Assumptions'!B32</f>
        <v/>
      </c>
      <c r="D14" s="24">
        <f>(B14*$F$4+C14*$F$5)/($F$4+$F$5)</f>
        <v/>
      </c>
    </row>
    <row r="15">
      <c r="A15" t="inlineStr">
        <is>
          <t>Onboarding fee</t>
        </is>
      </c>
      <c r="B15" s="25">
        <f>'India Assumptions'!B12</f>
        <v/>
      </c>
      <c r="C15" s="25">
        <f>'India Assumptions'!B13</f>
        <v/>
      </c>
    </row>
    <row r="16">
      <c r="A16" t="inlineStr">
        <is>
          <t>Onboarding gross profit</t>
        </is>
      </c>
      <c r="B16" s="25">
        <f>B15*'India Assumptions'!$B$33</f>
        <v/>
      </c>
      <c r="C16" s="25">
        <f>C15*'India Assumptions'!$B$33</f>
        <v/>
      </c>
    </row>
    <row r="17">
      <c r="A17" t="inlineStr">
        <is>
          <t>Net CAC (CAC − onb. GP)</t>
        </is>
      </c>
      <c r="B17" s="25">
        <f>B14-B16</f>
        <v/>
      </c>
      <c r="C17" s="25">
        <f>C14-C16</f>
        <v/>
      </c>
      <c r="D17" s="24">
        <f>(B17*$F$4+C17*$F$5)/($F$4+$F$5)</f>
        <v/>
      </c>
    </row>
    <row r="19">
      <c r="A19" t="inlineStr">
        <is>
          <t>Monthly gross profit</t>
        </is>
      </c>
      <c r="B19" s="25">
        <f>B11/12</f>
        <v/>
      </c>
      <c r="C19" s="25">
        <f>C11/12</f>
        <v/>
      </c>
    </row>
    <row r="20">
      <c r="A20" t="inlineStr">
        <is>
          <t>CAC payback (gross)</t>
        </is>
      </c>
      <c r="B20" s="18">
        <f>B14/B19</f>
        <v/>
      </c>
      <c r="C20" s="18">
        <f>C14/C19</f>
        <v/>
      </c>
      <c r="D20" s="19">
        <f>D14/(D11/12)</f>
        <v/>
      </c>
    </row>
    <row r="21">
      <c r="A21" s="8" t="inlineStr">
        <is>
          <t>Net CAC payback</t>
        </is>
      </c>
      <c r="B21" s="18">
        <f>B17/B19</f>
        <v/>
      </c>
      <c r="C21" s="18">
        <f>C17/C19</f>
        <v/>
      </c>
      <c r="D21" s="19">
        <f>D17/(D11/12)</f>
        <v/>
      </c>
    </row>
    <row r="23">
      <c r="A23" t="inlineStr">
        <is>
          <t>Logo churn / yr</t>
        </is>
      </c>
      <c r="B23" s="16">
        <f>'India Assumptions'!B18</f>
        <v/>
      </c>
      <c r="C23" s="16">
        <f>'India Assumptions'!B19</f>
        <v/>
      </c>
    </row>
    <row r="24">
      <c r="A24" t="inlineStr">
        <is>
          <t>Customer lifetime (yrs)</t>
        </is>
      </c>
      <c r="B24" s="20">
        <f>1/B23</f>
        <v/>
      </c>
      <c r="C24" s="20">
        <f>1/C23</f>
        <v/>
      </c>
    </row>
    <row r="25">
      <c r="A25" t="inlineStr">
        <is>
          <t>LTV (gross margin)</t>
        </is>
      </c>
      <c r="B25" s="25">
        <f>B11*B24</f>
        <v/>
      </c>
      <c r="C25" s="25">
        <f>C11*C24</f>
        <v/>
      </c>
      <c r="D25" s="24">
        <f>(B25*$F$4+C25*$F$5)/($F$4+$F$5)</f>
        <v/>
      </c>
    </row>
    <row r="26">
      <c r="A26" t="inlineStr">
        <is>
          <t>LTV:CAC (gross)</t>
        </is>
      </c>
      <c r="B26" s="21">
        <f>B25/B14</f>
        <v/>
      </c>
      <c r="C26" s="21">
        <f>C25/C14</f>
        <v/>
      </c>
      <c r="D26" s="22">
        <f>D25/D14</f>
        <v/>
      </c>
    </row>
    <row r="27">
      <c r="A27" s="8" t="inlineStr">
        <is>
          <t>LTV:CAC (net CAC)</t>
        </is>
      </c>
      <c r="B27" s="21">
        <f>B25/B17</f>
        <v/>
      </c>
      <c r="C27" s="21">
        <f>C25/C17</f>
        <v/>
      </c>
      <c r="D27" s="22">
        <f>D25/D17</f>
        <v/>
      </c>
    </row>
    <row r="29">
      <c r="A29" s="27" t="inlineStr">
        <is>
          <t>Note: SMB excludes CAD compute (SMB = non-3D tiers). Mid = Digital Twin tier (CAD applies).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2026-06-09T20:28:25Z</dcterms:created>
  <dcterms:modified xsi:type="dcterms:W3CDTF">2026-06-09T20:28:25Z</dcterms:modified>
</cp:coreProperties>
</file>